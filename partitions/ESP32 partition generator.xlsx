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daub\Documents\Github\Tasmota\partitions\"/>
    </mc:Choice>
  </mc:AlternateContent>
  <xr:revisionPtr revIDLastSave="0" documentId="13_ncr:1_{49E0E871-E158-4BCD-B530-E6D6F02498B5}" xr6:coauthVersionLast="47" xr6:coauthVersionMax="47" xr10:uidLastSave="{00000000-0000-0000-0000-000000000000}"/>
  <bookViews>
    <workbookView xWindow="0" yWindow="0" windowWidth="24000" windowHeight="13050" xr2:uid="{00000000-000D-0000-FFFF-FFFF00000000}"/>
  </bookViews>
  <sheets>
    <sheet name="Ark 1" sheetId="1" r:id="rId1"/>
  </sheets>
  <definedNames>
    <definedName name="_xlnm._FilterDatabase" localSheetId="0" hidden="1">'Ark 1'!$J$17:$J$30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J23" i="1" s="1"/>
  <c r="F2" i="1"/>
  <c r="F1" i="1"/>
  <c r="F4" i="1" s="1"/>
  <c r="G14" i="1"/>
  <c r="F15" i="1"/>
  <c r="G7" i="1"/>
  <c r="J22" i="1" s="1"/>
  <c r="H7" i="1"/>
  <c r="G6" i="1"/>
  <c r="G4" i="1"/>
  <c r="G5" i="1"/>
  <c r="H6" i="1" s="1"/>
  <c r="I30" i="1"/>
  <c r="H30" i="1"/>
  <c r="G30" i="1"/>
  <c r="F30" i="1"/>
  <c r="E30" i="1"/>
  <c r="J29" i="1"/>
  <c r="I29" i="1"/>
  <c r="J28" i="1"/>
  <c r="I28" i="1"/>
  <c r="J27" i="1"/>
  <c r="J25" i="1"/>
  <c r="G13" i="1"/>
  <c r="H14" i="1" s="1"/>
  <c r="G12" i="1"/>
  <c r="H13" i="1" s="1"/>
  <c r="H11" i="1"/>
  <c r="G11" i="1"/>
  <c r="J26" i="1" s="1"/>
  <c r="G10" i="1"/>
  <c r="G9" i="1"/>
  <c r="J24" i="1" s="1"/>
  <c r="E2" i="1"/>
  <c r="H15" i="1" s="1"/>
  <c r="H12" i="1" l="1"/>
  <c r="H8" i="1"/>
  <c r="H10" i="1"/>
  <c r="H9" i="1"/>
  <c r="J21" i="1"/>
  <c r="H5" i="1"/>
  <c r="J20" i="1"/>
  <c r="J19" i="1"/>
</calcChain>
</file>

<file path=xl/sharedStrings.xml><?xml version="1.0" encoding="utf-8"?>
<sst xmlns="http://schemas.openxmlformats.org/spreadsheetml/2006/main" count="47" uniqueCount="35">
  <si>
    <t>MB memory size</t>
  </si>
  <si>
    <t>Start offset</t>
  </si>
  <si>
    <t>Max address</t>
  </si>
  <si>
    <t>Enable</t>
  </si>
  <si>
    <t>Name</t>
  </si>
  <si>
    <t>Type</t>
  </si>
  <si>
    <t>SubType</t>
  </si>
  <si>
    <t>Size (kB)</t>
  </si>
  <si>
    <t>Offset (hex)</t>
  </si>
  <si>
    <t>Size (hex)</t>
  </si>
  <si>
    <t>Lost to alignment</t>
  </si>
  <si>
    <t>nvs</t>
  </si>
  <si>
    <t>data</t>
  </si>
  <si>
    <t>otadata</t>
  </si>
  <si>
    <t>ota</t>
  </si>
  <si>
    <t>factory</t>
  </si>
  <si>
    <t>app</t>
  </si>
  <si>
    <t>ota_0</t>
  </si>
  <si>
    <t>ota_1</t>
  </si>
  <si>
    <t>test</t>
  </si>
  <si>
    <t>nvs_key</t>
  </si>
  <si>
    <t>nvs_keys</t>
  </si>
  <si>
    <t>Total</t>
  </si>
  <si>
    <t>kB used</t>
  </si>
  <si>
    <t>kB free</t>
  </si>
  <si>
    <r>
      <rPr>
        <sz val="15"/>
        <color theme="1"/>
        <rFont val="Arial"/>
        <family val="2"/>
      </rPr>
      <t xml:space="preserve">I am getting a lot of share requests to edit this sheet, if you do want to edit it:
</t>
    </r>
    <r>
      <rPr>
        <b/>
        <i/>
        <sz val="15"/>
        <color theme="1"/>
        <rFont val="Arial"/>
        <family val="2"/>
      </rPr>
      <t xml:space="preserve">Please make your own copy!
</t>
    </r>
    <r>
      <rPr>
        <sz val="15"/>
        <color theme="1"/>
        <rFont val="Arial"/>
        <family val="2"/>
      </rPr>
      <t>This is done through the "File" menu, where you can select "Make a copy".
This will give you a personal copy you can change to your hearts content.
Best regards:)</t>
    </r>
  </si>
  <si>
    <t>Generated table</t>
  </si>
  <si>
    <t># Name,   Type, SubType,  Offset,   Size,  Flags</t>
  </si>
  <si>
    <t>e000</t>
  </si>
  <si>
    <t>safeboot</t>
  </si>
  <si>
    <t>app0</t>
  </si>
  <si>
    <t>e0000</t>
  </si>
  <si>
    <t>spiffs</t>
  </si>
  <si>
    <t>Site internet 'Calculatrice de partition'</t>
  </si>
  <si>
    <t>https://esp32.jgarrettcorbin.com/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</si>
</sst>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 [$kB]"/>
    <numFmt numFmtId="165" formatCode="&quot;0x&quot;General"/>
    <numFmt numFmtId="166" formatCode="&quot;0x&quot;\&amp;General"/>
  </numFmts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5"/>
      <color theme="1"/>
      <name val="Arial"/>
      <family val="2"/>
      <scheme val="minor"/>
    </font>
    <font>
      <sz val="15"/>
      <color theme="1"/>
      <name val="Arial"/>
      <family val="2"/>
    </font>
    <font>
      <b/>
      <i/>
      <sz val="15"/>
      <color theme="1"/>
      <name val="Arial"/>
      <family val="2"/>
    </font>
    <font>
      <u/>
      <sz val="10"/>
      <color theme="10"/>
      <name val="Arial"/>
      <family val="2"/>
      <scheme val="minor"/>
    </font>
    <font>
      <sz val="14"/>
      <color rgb="FF000000"/>
      <name val="Agency FB"/>
      <family val="2"/>
    </font>
    <font>
      <u/>
      <sz val="14"/>
      <color theme="10"/>
      <name val="Agency FB"/>
      <family val="2"/>
    </font>
    <font>
      <sz val="14"/>
      <color theme="1"/>
      <name val="Agency FB"/>
      <family val="2"/>
    </font>
    <font>
      <sz val="14"/>
      <color rgb="FF444444"/>
      <name val="Agency FB"/>
      <family val="2"/>
    </font>
    <font>
      <b/>
      <sz val="14"/>
      <color theme="1"/>
      <name val="Agency FB"/>
      <family val="2"/>
    </font>
    <font>
      <b/>
      <u/>
      <sz val="14"/>
      <color theme="1"/>
      <name val="Agency FB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 applyFont="1" applyAlignment="1"/>
    <xf numFmtId="0" fontId="1" fillId="0" borderId="0" xfId="0" applyFont="1"/>
    <xf numFmtId="0" fontId="2" fillId="3" borderId="0" xfId="0" applyFont="1" applyFill="1" applyAlignment="1">
      <alignment horizontal="center" vertical="center"/>
    </xf>
    <xf numFmtId="0" fontId="0" fillId="0" borderId="0" xfId="0" applyFont="1" applyAlignment="1"/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7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5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2">
    <cellStyle name="Lien hypertexte" xfId="1" builtinId="8"/>
    <cellStyle name="Normal" xfId="0" builtinId="0"/>
  </cellStyles>
  <dxfs count="3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p32.jgarrettcorb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M32"/>
  <sheetViews>
    <sheetView tabSelected="1" topLeftCell="A7" workbookViewId="0">
      <selection activeCell="Q19" sqref="Q19"/>
    </sheetView>
  </sheetViews>
  <sheetFormatPr baseColWidth="10" defaultColWidth="10.42578125" defaultRowHeight="18.75" customHeight="1" x14ac:dyDescent="0.2"/>
  <cols>
    <col min="1" max="3" width="10.42578125" style="9"/>
    <col min="4" max="5" width="12.7109375" style="9" customWidth="1"/>
    <col min="6" max="6" width="11.28515625" style="9" customWidth="1"/>
    <col min="7" max="7" width="12.5703125" style="9" customWidth="1"/>
    <col min="8" max="8" width="16.140625" style="9" customWidth="1"/>
    <col min="9" max="9" width="3.140625" style="9" customWidth="1"/>
    <col min="10" max="10" width="21.85546875" style="9" customWidth="1"/>
    <col min="11" max="16384" width="10.42578125" style="9"/>
  </cols>
  <sheetData>
    <row r="1" spans="1:13" ht="18.75" customHeight="1" x14ac:dyDescent="0.2">
      <c r="A1" s="8">
        <v>16</v>
      </c>
      <c r="B1" s="17" t="s">
        <v>0</v>
      </c>
      <c r="C1" s="17"/>
      <c r="D1" s="6" t="s">
        <v>1</v>
      </c>
      <c r="E1" s="16">
        <v>9000</v>
      </c>
      <c r="F1" s="8">
        <f>HEX2DEC(E1)</f>
        <v>36864</v>
      </c>
    </row>
    <row r="2" spans="1:13" ht="18.75" customHeight="1" x14ac:dyDescent="0.2">
      <c r="A2" s="8"/>
      <c r="B2" s="8"/>
      <c r="C2" s="8"/>
      <c r="D2" s="6" t="s">
        <v>2</v>
      </c>
      <c r="E2" s="16" t="str">
        <f>"0x"&amp;DEC2HEX(F2)</f>
        <v>0x1000000</v>
      </c>
      <c r="F2" s="10">
        <f>A1*1024*1024</f>
        <v>16777216</v>
      </c>
    </row>
    <row r="3" spans="1:13" ht="18.75" customHeight="1" x14ac:dyDescent="0.2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K3" s="8"/>
      <c r="L3" s="8"/>
      <c r="M3" s="8"/>
    </row>
    <row r="4" spans="1:13" ht="18.75" customHeight="1" x14ac:dyDescent="0.2">
      <c r="A4" s="8">
        <v>1</v>
      </c>
      <c r="B4" s="8" t="s">
        <v>11</v>
      </c>
      <c r="C4" s="8" t="s">
        <v>12</v>
      </c>
      <c r="D4" s="8" t="s">
        <v>11</v>
      </c>
      <c r="E4" s="11">
        <v>20</v>
      </c>
      <c r="F4" s="8" t="str">
        <f>DEC2HEX(F1)</f>
        <v>9000</v>
      </c>
      <c r="G4" s="8" t="str">
        <f>IF(A4&gt;0,DEC2HEX(E4*1024),0)</f>
        <v>5000</v>
      </c>
      <c r="H4" s="11">
        <v>0</v>
      </c>
    </row>
    <row r="5" spans="1:13" ht="18.75" customHeight="1" x14ac:dyDescent="0.2">
      <c r="A5" s="8">
        <v>1</v>
      </c>
      <c r="B5" s="8" t="s">
        <v>13</v>
      </c>
      <c r="C5" s="8" t="s">
        <v>12</v>
      </c>
      <c r="D5" s="8" t="s">
        <v>14</v>
      </c>
      <c r="E5" s="11">
        <v>8</v>
      </c>
      <c r="F5" s="12" t="s">
        <v>28</v>
      </c>
      <c r="G5" s="8" t="str">
        <f>IF(A5&gt;0,DEC2HEX(E5*1024),0)</f>
        <v>2000</v>
      </c>
      <c r="H5" s="11">
        <f>HEX2DEC(F5)-(HEX2DEC(F4)+HEX2DEC(G4))</f>
        <v>0</v>
      </c>
    </row>
    <row r="6" spans="1:13" ht="18.75" customHeight="1" x14ac:dyDescent="0.2">
      <c r="A6" s="8">
        <v>1</v>
      </c>
      <c r="B6" s="8" t="s">
        <v>29</v>
      </c>
      <c r="C6" s="8" t="s">
        <v>16</v>
      </c>
      <c r="D6" s="8" t="s">
        <v>15</v>
      </c>
      <c r="E6" s="11">
        <v>832</v>
      </c>
      <c r="F6" s="8">
        <v>10000</v>
      </c>
      <c r="G6" s="8" t="str">
        <f>IF(A6&gt;0,DEC2HEX(E6*1024),0)</f>
        <v>D0000</v>
      </c>
      <c r="H6" s="11">
        <f>(HEX2DEC(F6)-(HEX2DEC(F5)+HEX2DEC(G5)))/1024</f>
        <v>0</v>
      </c>
    </row>
    <row r="7" spans="1:13" ht="18.75" customHeight="1" x14ac:dyDescent="0.2">
      <c r="A7" s="8">
        <v>1</v>
      </c>
      <c r="B7" s="8" t="s">
        <v>30</v>
      </c>
      <c r="C7" s="8" t="s">
        <v>16</v>
      </c>
      <c r="D7" s="8" t="s">
        <v>17</v>
      </c>
      <c r="E7" s="11">
        <v>3360</v>
      </c>
      <c r="F7" s="8" t="s">
        <v>31</v>
      </c>
      <c r="G7" s="8" t="str">
        <f>IF(A7&gt;0,DEC2HEX(E7*1024),0)</f>
        <v>348000</v>
      </c>
      <c r="H7" s="11">
        <f>HEX2DEC(F7)-(HEX2DEC(F6)+HEX2DEC(G6))</f>
        <v>0</v>
      </c>
      <c r="J7" s="13"/>
    </row>
    <row r="8" spans="1:13" ht="18.75" customHeight="1" x14ac:dyDescent="0.2">
      <c r="A8" s="8">
        <v>1</v>
      </c>
      <c r="B8" s="8" t="s">
        <v>32</v>
      </c>
      <c r="C8" s="8" t="s">
        <v>12</v>
      </c>
      <c r="D8" s="8" t="s">
        <v>32</v>
      </c>
      <c r="E8" s="11">
        <v>12128</v>
      </c>
      <c r="F8" s="8">
        <v>428000</v>
      </c>
      <c r="G8" s="8" t="str">
        <f t="shared" ref="G8:G14" si="0">IF(A8&gt;0,DEC2HEX(E8*1024),0)</f>
        <v>BD8000</v>
      </c>
      <c r="H8" s="11">
        <f>HEX2DEC(F8)-(HEX2DEC(F7)+HEX2DEC(G7))</f>
        <v>0</v>
      </c>
    </row>
    <row r="9" spans="1:13" ht="18.75" customHeight="1" x14ac:dyDescent="0.2">
      <c r="A9" s="8">
        <v>0</v>
      </c>
      <c r="B9" s="8" t="s">
        <v>18</v>
      </c>
      <c r="C9" s="8" t="s">
        <v>16</v>
      </c>
      <c r="D9" s="8" t="s">
        <v>18</v>
      </c>
      <c r="E9" s="11"/>
      <c r="F9" s="8"/>
      <c r="G9" s="8">
        <f t="shared" si="0"/>
        <v>0</v>
      </c>
      <c r="H9" s="14">
        <f t="shared" ref="H9:H13" si="1">HEX2DEC(F9)-(HEX2DEC(F8)+HEX2DEC(G8))</f>
        <v>-16777216</v>
      </c>
      <c r="J9" s="13"/>
    </row>
    <row r="10" spans="1:13" ht="18.75" customHeight="1" x14ac:dyDescent="0.2">
      <c r="A10" s="8">
        <v>0</v>
      </c>
      <c r="B10" s="8" t="s">
        <v>19</v>
      </c>
      <c r="C10" s="8" t="s">
        <v>16</v>
      </c>
      <c r="D10" s="8" t="s">
        <v>19</v>
      </c>
      <c r="E10" s="11"/>
      <c r="F10" s="8"/>
      <c r="G10" s="8">
        <f t="shared" si="0"/>
        <v>0</v>
      </c>
      <c r="H10" s="11">
        <f t="shared" si="1"/>
        <v>0</v>
      </c>
    </row>
    <row r="11" spans="1:13" ht="18.75" customHeight="1" x14ac:dyDescent="0.2">
      <c r="A11" s="8">
        <v>0</v>
      </c>
      <c r="B11" s="8" t="s">
        <v>20</v>
      </c>
      <c r="C11" s="8" t="s">
        <v>12</v>
      </c>
      <c r="D11" s="8" t="s">
        <v>21</v>
      </c>
      <c r="E11" s="11"/>
      <c r="F11" s="8"/>
      <c r="G11" s="8">
        <f t="shared" si="0"/>
        <v>0</v>
      </c>
      <c r="H11" s="11">
        <f t="shared" si="1"/>
        <v>0</v>
      </c>
    </row>
    <row r="12" spans="1:13" ht="18.75" customHeight="1" x14ac:dyDescent="0.2">
      <c r="A12" s="8">
        <v>0</v>
      </c>
      <c r="B12" s="8"/>
      <c r="C12" s="8" t="s">
        <v>12</v>
      </c>
      <c r="D12" s="8"/>
      <c r="E12" s="11"/>
      <c r="F12" s="8"/>
      <c r="G12" s="8">
        <f t="shared" si="0"/>
        <v>0</v>
      </c>
      <c r="H12" s="11">
        <f t="shared" si="1"/>
        <v>0</v>
      </c>
      <c r="M12" s="8"/>
    </row>
    <row r="13" spans="1:13" ht="18.75" customHeight="1" x14ac:dyDescent="0.2">
      <c r="A13" s="8">
        <v>0</v>
      </c>
      <c r="B13" s="8"/>
      <c r="C13" s="8" t="s">
        <v>12</v>
      </c>
      <c r="D13" s="8"/>
      <c r="E13" s="11"/>
      <c r="F13" s="8"/>
      <c r="G13" s="8">
        <f t="shared" si="0"/>
        <v>0</v>
      </c>
      <c r="H13" s="11">
        <f t="shared" si="1"/>
        <v>0</v>
      </c>
      <c r="M13" s="8"/>
    </row>
    <row r="14" spans="1:13" ht="18.75" customHeight="1" x14ac:dyDescent="0.2">
      <c r="A14" s="8">
        <v>0</v>
      </c>
      <c r="B14" s="8"/>
      <c r="C14" s="8"/>
      <c r="D14" s="8"/>
      <c r="E14" s="11"/>
      <c r="F14" s="8"/>
      <c r="G14" s="8">
        <f t="shared" si="0"/>
        <v>0</v>
      </c>
      <c r="H14" s="11">
        <f>HEX2DEC(F14)-(HEX2DEC(F13)+HEX2DEC(G13))</f>
        <v>0</v>
      </c>
      <c r="M14" s="8"/>
    </row>
    <row r="15" spans="1:13" ht="18.75" customHeight="1" x14ac:dyDescent="0.2">
      <c r="A15" s="8" t="s">
        <v>22</v>
      </c>
      <c r="E15" s="8" t="s">
        <v>23</v>
      </c>
      <c r="F15" s="8">
        <f>F14</f>
        <v>0</v>
      </c>
      <c r="G15" s="8" t="s">
        <v>24</v>
      </c>
      <c r="H15" s="11" t="e">
        <f>(HEX2DEC(E2)-HEX2DEC(F14))/1024</f>
        <v>#NUM!</v>
      </c>
      <c r="L15" s="15"/>
    </row>
    <row r="16" spans="1:13" ht="18.75" customHeight="1" x14ac:dyDescent="0.2">
      <c r="L16" s="15"/>
    </row>
    <row r="17" spans="2:12" ht="18.75" customHeight="1" x14ac:dyDescent="0.2">
      <c r="B17" s="2" t="s">
        <v>25</v>
      </c>
      <c r="C17" s="3"/>
      <c r="D17" s="3"/>
      <c r="E17" s="3"/>
      <c r="F17" s="3"/>
      <c r="G17" s="3"/>
      <c r="H17" s="3"/>
      <c r="J17" s="19" t="s">
        <v>26</v>
      </c>
      <c r="L17" s="15"/>
    </row>
    <row r="18" spans="2:12" ht="18.75" customHeight="1" x14ac:dyDescent="0.2">
      <c r="B18" s="3"/>
      <c r="C18" s="3"/>
      <c r="D18" s="3"/>
      <c r="E18" s="3"/>
      <c r="F18" s="3"/>
      <c r="G18" s="3"/>
      <c r="H18" s="3"/>
      <c r="J18" s="18" t="s">
        <v>27</v>
      </c>
      <c r="L18" s="15"/>
    </row>
    <row r="19" spans="2:12" ht="18.75" customHeight="1" x14ac:dyDescent="0.2">
      <c r="B19" s="3"/>
      <c r="C19" s="3"/>
      <c r="D19" s="3"/>
      <c r="E19" s="3"/>
      <c r="F19" s="3"/>
      <c r="G19" s="3"/>
      <c r="H19" s="3"/>
      <c r="J19" s="18" t="str">
        <f t="shared" ref="J19:J29" si="2">IF(A4&gt;0, B4&amp;", "&amp;C4&amp;", "&amp;D4&amp;", 0x"&amp;F4&amp;", 0x"&amp;G4,)</f>
        <v>nvs, data, nvs, 0x9000, 0x5000</v>
      </c>
      <c r="L19" s="15"/>
    </row>
    <row r="20" spans="2:12" ht="18.75" customHeight="1" x14ac:dyDescent="0.2">
      <c r="B20" s="3"/>
      <c r="C20" s="3"/>
      <c r="D20" s="3"/>
      <c r="E20" s="3"/>
      <c r="F20" s="3"/>
      <c r="G20" s="3"/>
      <c r="H20" s="3"/>
      <c r="J20" s="18" t="str">
        <f t="shared" si="2"/>
        <v>otadata, data, ota, 0xe000, 0x2000</v>
      </c>
      <c r="L20" s="15"/>
    </row>
    <row r="21" spans="2:12" ht="18.75" customHeight="1" x14ac:dyDescent="0.2">
      <c r="B21" s="3"/>
      <c r="C21" s="3"/>
      <c r="D21" s="3"/>
      <c r="E21" s="3"/>
      <c r="F21" s="3"/>
      <c r="G21" s="3"/>
      <c r="H21" s="3"/>
      <c r="J21" s="18" t="str">
        <f t="shared" si="2"/>
        <v>safeboot, app, factory, 0x10000, 0xD0000</v>
      </c>
    </row>
    <row r="22" spans="2:12" ht="18.75" customHeight="1" x14ac:dyDescent="0.2">
      <c r="B22" s="3"/>
      <c r="C22" s="3"/>
      <c r="D22" s="3"/>
      <c r="E22" s="3"/>
      <c r="F22" s="3"/>
      <c r="G22" s="3"/>
      <c r="H22" s="3"/>
      <c r="J22" s="18" t="str">
        <f t="shared" si="2"/>
        <v>app0, app, ota_0, 0xe0000, 0x348000</v>
      </c>
    </row>
    <row r="23" spans="2:12" ht="18.75" customHeight="1" x14ac:dyDescent="0.2">
      <c r="B23" s="3"/>
      <c r="C23" s="3"/>
      <c r="D23" s="3"/>
      <c r="E23" s="3"/>
      <c r="F23" s="3"/>
      <c r="G23" s="3"/>
      <c r="H23" s="3"/>
      <c r="J23" s="18" t="str">
        <f t="shared" si="2"/>
        <v>spiffs, data, spiffs, 0x428000, 0xBD8000</v>
      </c>
    </row>
    <row r="24" spans="2:12" customFormat="1" ht="15.75" hidden="1" customHeight="1" x14ac:dyDescent="0.2">
      <c r="B24" s="3"/>
      <c r="C24" s="3"/>
      <c r="D24" s="3"/>
      <c r="E24" s="3"/>
      <c r="F24" s="3"/>
      <c r="G24" s="3"/>
      <c r="H24" s="3"/>
      <c r="J24" s="1">
        <f t="shared" si="2"/>
        <v>0</v>
      </c>
    </row>
    <row r="25" spans="2:12" customFormat="1" ht="15.75" hidden="1" customHeight="1" x14ac:dyDescent="0.2">
      <c r="B25" s="3"/>
      <c r="C25" s="3"/>
      <c r="D25" s="3"/>
      <c r="E25" s="3"/>
      <c r="F25" s="3"/>
      <c r="G25" s="3"/>
      <c r="H25" s="3"/>
      <c r="J25" s="1">
        <f t="shared" si="2"/>
        <v>0</v>
      </c>
    </row>
    <row r="26" spans="2:12" customFormat="1" ht="15.75" hidden="1" customHeight="1" x14ac:dyDescent="0.2">
      <c r="B26" s="3"/>
      <c r="C26" s="3"/>
      <c r="D26" s="3"/>
      <c r="E26" s="3"/>
      <c r="F26" s="3"/>
      <c r="G26" s="3"/>
      <c r="H26" s="3"/>
      <c r="J26" s="1">
        <f t="shared" si="2"/>
        <v>0</v>
      </c>
    </row>
    <row r="27" spans="2:12" customFormat="1" ht="15.75" hidden="1" customHeight="1" x14ac:dyDescent="0.2">
      <c r="B27" s="3"/>
      <c r="C27" s="3"/>
      <c r="D27" s="3"/>
      <c r="E27" s="3"/>
      <c r="F27" s="3"/>
      <c r="G27" s="3"/>
      <c r="H27" s="3"/>
      <c r="J27" s="1">
        <f t="shared" si="2"/>
        <v>0</v>
      </c>
    </row>
    <row r="28" spans="2:12" customFormat="1" ht="15.75" hidden="1" customHeight="1" x14ac:dyDescent="0.2">
      <c r="B28" s="3"/>
      <c r="C28" s="3"/>
      <c r="D28" s="3"/>
      <c r="E28" s="3"/>
      <c r="F28" s="3"/>
      <c r="G28" s="3"/>
      <c r="H28" s="3"/>
      <c r="I28" s="1">
        <f t="shared" ref="I28:I30" si="3">IF($A12&gt;0, "0x"&amp;G12,)</f>
        <v>0</v>
      </c>
      <c r="J28" s="1">
        <f t="shared" si="2"/>
        <v>0</v>
      </c>
    </row>
    <row r="29" spans="2:12" customFormat="1" ht="12.75" hidden="1" x14ac:dyDescent="0.2">
      <c r="B29" s="3"/>
      <c r="C29" s="3"/>
      <c r="D29" s="3"/>
      <c r="E29" s="3"/>
      <c r="F29" s="3"/>
      <c r="G29" s="3"/>
      <c r="H29" s="3"/>
      <c r="I29" s="1">
        <f t="shared" si="3"/>
        <v>0</v>
      </c>
      <c r="J29" s="1">
        <f t="shared" si="2"/>
        <v>0</v>
      </c>
    </row>
    <row r="30" spans="2:12" customFormat="1" ht="12.75" hidden="1" x14ac:dyDescent="0.2">
      <c r="E30" s="1">
        <f t="shared" ref="E30:G30" si="4">IF($A14&gt;0, B14&amp;",",)</f>
        <v>0</v>
      </c>
      <c r="F30" s="1">
        <f t="shared" si="4"/>
        <v>0</v>
      </c>
      <c r="G30" s="1">
        <f t="shared" si="4"/>
        <v>0</v>
      </c>
      <c r="H30" s="1">
        <f>IF($A14&gt;0, "0x"&amp;F14&amp;",",)</f>
        <v>0</v>
      </c>
      <c r="I30" s="1">
        <f t="shared" si="3"/>
        <v>0</v>
      </c>
    </row>
    <row r="31" spans="2:12" ht="18.75" customHeight="1" x14ac:dyDescent="0.2">
      <c r="B31" s="4" t="s">
        <v>33</v>
      </c>
      <c r="C31" s="4"/>
      <c r="D31" s="4"/>
      <c r="E31" s="4"/>
      <c r="F31" s="4"/>
      <c r="G31" s="4"/>
      <c r="H31" s="4"/>
    </row>
    <row r="32" spans="2:12" ht="18.75" customHeight="1" x14ac:dyDescent="0.2">
      <c r="B32" s="7" t="s">
        <v>34</v>
      </c>
      <c r="C32" s="4"/>
      <c r="D32" s="4"/>
      <c r="E32" s="4"/>
      <c r="F32" s="4"/>
      <c r="G32" s="4"/>
      <c r="H32" s="4"/>
    </row>
  </sheetData>
  <autoFilter ref="J17:J30" xr:uid="{00000000-0009-0000-0000-000000000000}">
    <filterColumn colId="0">
      <filters>
        <filter val="# Name,   Type, SubType,  Offset,   Size,  Flags"/>
        <filter val="app0, app, ota_0, 0xe0000, 0x3E8000"/>
        <filter val="nvs, data, nvs, 0x9000, 0x5000"/>
        <filter val="otadata, data, ota, 0xe000, 0x2000"/>
        <filter val="safeboot, app, factory, 0x10000, 0xD0000"/>
        <filter val="spiffs, data, spiffs, 0x4c8000, 0x301880000"/>
      </filters>
    </filterColumn>
  </autoFilter>
  <mergeCells count="4">
    <mergeCell ref="B17:H29"/>
    <mergeCell ref="B31:H31"/>
    <mergeCell ref="B32:H32"/>
    <mergeCell ref="B1:C1"/>
  </mergeCells>
  <conditionalFormatting sqref="H4:H15">
    <cfRule type="cellIs" dxfId="2" priority="2" operator="greaterThan">
      <formula>0</formula>
    </cfRule>
    <cfRule type="cellIs" dxfId="1" priority="3" operator="equal">
      <formula>0</formula>
    </cfRule>
  </conditionalFormatting>
  <conditionalFormatting sqref="H15">
    <cfRule type="cellIs" dxfId="0" priority="1" operator="lessThan">
      <formula>0</formula>
    </cfRule>
  </conditionalFormatting>
  <dataValidations count="3">
    <dataValidation type="list" allowBlank="1" sqref="A4:A14" xr:uid="{00000000-0002-0000-0000-000000000000}">
      <formula1>"1,0"</formula1>
    </dataValidation>
    <dataValidation type="list" allowBlank="1" sqref="C4:C14" xr:uid="{00000000-0002-0000-0000-000001000000}">
      <formula1>"data,app"</formula1>
    </dataValidation>
    <dataValidation type="list" allowBlank="1" sqref="A1" xr:uid="{00000000-0002-0000-0000-000002000000}">
      <formula1>"4,8,16"</formula1>
    </dataValidation>
  </dataValidations>
  <hyperlinks>
    <hyperlink ref="B32" r:id="rId1" xr:uid="{DB1C6596-716F-416F-969D-147FEE39191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Ark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Daubercy</dc:creator>
  <cp:lastModifiedBy>Frédéric Daubercy</cp:lastModifiedBy>
  <dcterms:created xsi:type="dcterms:W3CDTF">2025-02-16T14:33:53Z</dcterms:created>
  <dcterms:modified xsi:type="dcterms:W3CDTF">2025-02-16T16:43:42Z</dcterms:modified>
</cp:coreProperties>
</file>