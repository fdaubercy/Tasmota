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daub\Documents\Github\Tasmota\data\GARAGE\"/>
    </mc:Choice>
  </mc:AlternateContent>
  <xr:revisionPtr revIDLastSave="0" documentId="13_ncr:1_{983E859C-C7F7-4996-B279-5515B90DEE68}" xr6:coauthVersionLast="47" xr6:coauthVersionMax="47" xr10:uidLastSave="{00000000-0000-0000-0000-000000000000}"/>
  <bookViews>
    <workbookView xWindow="-120" yWindow="-120" windowWidth="24240" windowHeight="13290" xr2:uid="{3B083024-01E6-4298-B5E9-9044B2EDABEE}"/>
  </bookViews>
  <sheets>
    <sheet name="Relevé Capteur Eau Analogique" sheetId="1" r:id="rId1"/>
    <sheet name="Cablage Ethernet - Capteur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C7" i="1"/>
  <c r="C8" i="1"/>
  <c r="C9" i="1"/>
  <c r="C10" i="1"/>
  <c r="C11" i="1"/>
  <c r="C12" i="1"/>
  <c r="C13" i="1"/>
  <c r="C14" i="1"/>
  <c r="C15" i="1"/>
  <c r="F10" i="1"/>
  <c r="E8" i="1"/>
  <c r="E9" i="1"/>
  <c r="E10" i="1"/>
  <c r="E11" i="1"/>
  <c r="E12" i="1"/>
  <c r="E13" i="1"/>
  <c r="E14" i="1"/>
  <c r="E15" i="1"/>
  <c r="E7" i="1"/>
  <c r="L12" i="1"/>
  <c r="L11" i="1"/>
  <c r="L10" i="1"/>
  <c r="K4" i="1"/>
  <c r="I6" i="1"/>
  <c r="F14" i="1" l="1"/>
  <c r="F11" i="1"/>
  <c r="E17" i="1"/>
  <c r="F13" i="1"/>
  <c r="F9" i="1"/>
  <c r="F7" i="1"/>
  <c r="F12" i="1"/>
  <c r="F8" i="1"/>
  <c r="F15" i="1"/>
</calcChain>
</file>

<file path=xl/sharedStrings.xml><?xml version="1.0" encoding="utf-8"?>
<sst xmlns="http://schemas.openxmlformats.org/spreadsheetml/2006/main" count="22" uniqueCount="22">
  <si>
    <t>Hauteur Eau</t>
  </si>
  <si>
    <t>Voltage Capteur</t>
  </si>
  <si>
    <t>4m</t>
  </si>
  <si>
    <t>400cm</t>
  </si>
  <si>
    <t>80*5cm</t>
  </si>
  <si>
    <t>10v</t>
  </si>
  <si>
    <t>500cm</t>
  </si>
  <si>
    <t>5cm</t>
  </si>
  <si>
    <t>45cm</t>
  </si>
  <si>
    <t>20cm</t>
  </si>
  <si>
    <t>Volt/cm</t>
  </si>
  <si>
    <t>Moyenne Volt/cm</t>
  </si>
  <si>
    <t>Relevé de la tension du capteur en fonction de la hauteur d'eau</t>
  </si>
  <si>
    <t>Valeur attendue</t>
  </si>
  <si>
    <t>Coefficient retenu:</t>
  </si>
  <si>
    <t>Output 0-10V Capteur de Niveau</t>
  </si>
  <si>
    <t>DQ Capteur de Température DS18B20</t>
  </si>
  <si>
    <t>Alimentation 3,3V (Pour le DS18B20)</t>
  </si>
  <si>
    <t>Alimentation 24V (Pour le capteur de niveau eau)</t>
  </si>
  <si>
    <t>Masse Capteur de Niveau</t>
  </si>
  <si>
    <t>Masse DS18B20</t>
  </si>
  <si>
    <t xml:space="preserve">Moyenne: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</si>
</sst>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&quot;cm&quot;"/>
    <numFmt numFmtId="165" formatCode="0.00&quot;V&quot;"/>
    <numFmt numFmtId="166" formatCode="0&quot;mV/cm&quot;"/>
    <numFmt numFmtId="167" formatCode="0&quot;mV&quot;"/>
  </numFmts>
  <fonts count="4" x14ac:knownFonts="1">
    <font>
      <sz val="12"/>
      <color theme="1"/>
      <name val="Agency FB"/>
      <family val="2"/>
    </font>
    <font>
      <b/>
      <sz val="12"/>
      <color theme="1"/>
      <name val="Agency FB"/>
      <family val="2"/>
    </font>
    <font>
      <b/>
      <u/>
      <sz val="14"/>
      <color theme="1"/>
      <name val="Agency FB"/>
      <family val="2"/>
    </font>
    <font>
      <b/>
      <u/>
      <sz val="12"/>
      <color theme="1"/>
      <name val="Agency FB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164" fontId="3" fillId="0" borderId="0" xfId="0" applyNumberFormat="1" applyFont="1" applyAlignment="1">
      <alignment horizontal="right" vertical="center"/>
    </xf>
    <xf numFmtId="164" fontId="1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166" fontId="1" fillId="0" borderId="0" xfId="0" applyNumberFormat="1" applyFont="1" applyAlignment="1">
      <alignment horizontal="left" vertical="center"/>
    </xf>
    <xf numFmtId="166" fontId="3" fillId="0" borderId="0" xfId="0" applyNumberFormat="1" applyFont="1" applyAlignment="1">
      <alignment horizontal="left" vertical="center"/>
    </xf>
  </cellXfs>
  <cellStyles count="1">
    <cellStyle name="Normal" xfId="0" builtinId="0"/>
  </cellStyles>
  <dxfs count="7">
    <dxf>
      <numFmt numFmtId="167" formatCode="0&quot;mV&quot;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&quot;mV/cm&quot;"/>
      <alignment horizontal="center" vertical="center" textRotation="0" wrapText="0" indent="0" justifyLastLine="0" shrinkToFit="0" readingOrder="0"/>
    </dxf>
    <dxf>
      <numFmt numFmtId="166" formatCode="0&quot;mV/cm&quot;"/>
      <alignment horizontal="center" vertical="center" textRotation="0" wrapText="0" indent="0" justifyLastLine="0" shrinkToFit="0" readingOrder="0"/>
    </dxf>
    <dxf>
      <numFmt numFmtId="167" formatCode="0&quot;mV&quot;"/>
      <alignment horizontal="center" vertical="center" textRotation="0" wrapText="0" indent="0" justifyLastLine="0" shrinkToFit="0" readingOrder="0"/>
    </dxf>
    <dxf>
      <numFmt numFmtId="164" formatCode="0&quot;cm&quot;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Relevé de la tension du capteur en fonction de la hauteur d'eau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'Relevé Capteur Eau Analogique'!$C$5</c:f>
              <c:strCache>
                <c:ptCount val="1"/>
                <c:pt idx="0">
                  <c:v>Valeur attendue</c:v>
                </c:pt>
              </c:strCache>
            </c:strRef>
          </c:tx>
          <c:spPr>
            <a:ln w="12700" cap="rnd" cmpd="dbl">
              <a:solidFill>
                <a:schemeClr val="accent2"/>
              </a:solidFill>
              <a:prstDash val="sys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'Relevé Capteur Eau Analogique'!$B$5:$B$15</c15:sqref>
                  </c15:fullRef>
                </c:ext>
              </c:extLst>
              <c:f>'Relevé Capteur Eau Analogique'!$B$6:$B$15</c:f>
              <c:strCache>
                <c:ptCount val="10"/>
                <c:pt idx="0">
                  <c:v>0cm</c:v>
                </c:pt>
                <c:pt idx="1">
                  <c:v>5cm</c:v>
                </c:pt>
                <c:pt idx="2">
                  <c:v>10cm</c:v>
                </c:pt>
                <c:pt idx="3">
                  <c:v>15cm</c:v>
                </c:pt>
                <c:pt idx="4">
                  <c:v>20cm</c:v>
                </c:pt>
                <c:pt idx="5">
                  <c:v>25cm</c:v>
                </c:pt>
                <c:pt idx="6">
                  <c:v>30cm</c:v>
                </c:pt>
                <c:pt idx="7">
                  <c:v>35cm</c:v>
                </c:pt>
                <c:pt idx="8">
                  <c:v>40cm</c:v>
                </c:pt>
                <c:pt idx="9">
                  <c:v>45cm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'Relevé Capteur Eau Analogique'!$C$6:$C$15</c15:sqref>
                  </c15:fullRef>
                </c:ext>
              </c:extLst>
              <c:f>'Relevé Capteur Eau Analogique'!$C$7:$C$15</c:f>
              <c:numCache>
                <c:formatCode>0"mV"</c:formatCode>
                <c:ptCount val="9"/>
                <c:pt idx="0">
                  <c:v>155</c:v>
                </c:pt>
                <c:pt idx="1">
                  <c:v>310</c:v>
                </c:pt>
                <c:pt idx="2">
                  <c:v>465</c:v>
                </c:pt>
                <c:pt idx="3">
                  <c:v>620</c:v>
                </c:pt>
                <c:pt idx="4">
                  <c:v>775</c:v>
                </c:pt>
                <c:pt idx="5">
                  <c:v>930</c:v>
                </c:pt>
                <c:pt idx="6">
                  <c:v>1085</c:v>
                </c:pt>
                <c:pt idx="7">
                  <c:v>1240</c:v>
                </c:pt>
                <c:pt idx="8">
                  <c:v>1395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FE-4F7D-8EEE-A57C3391BB56}"/>
            </c:ext>
          </c:extLst>
        </c:ser>
        <c:ser>
          <c:idx val="2"/>
          <c:order val="1"/>
          <c:tx>
            <c:strRef>
              <c:f>'Relevé Capteur Eau Analogique'!$D$5</c:f>
              <c:strCache>
                <c:ptCount val="1"/>
                <c:pt idx="0">
                  <c:v>Voltage Capteur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'Relevé Capteur Eau Analogique'!$B$5:$B$15</c15:sqref>
                  </c15:fullRef>
                </c:ext>
              </c:extLst>
              <c:f>'Relevé Capteur Eau Analogique'!$B$6:$B$15</c:f>
              <c:strCache>
                <c:ptCount val="10"/>
                <c:pt idx="0">
                  <c:v>0cm</c:v>
                </c:pt>
                <c:pt idx="1">
                  <c:v>5cm</c:v>
                </c:pt>
                <c:pt idx="2">
                  <c:v>10cm</c:v>
                </c:pt>
                <c:pt idx="3">
                  <c:v>15cm</c:v>
                </c:pt>
                <c:pt idx="4">
                  <c:v>20cm</c:v>
                </c:pt>
                <c:pt idx="5">
                  <c:v>25cm</c:v>
                </c:pt>
                <c:pt idx="6">
                  <c:v>30cm</c:v>
                </c:pt>
                <c:pt idx="7">
                  <c:v>35cm</c:v>
                </c:pt>
                <c:pt idx="8">
                  <c:v>40cm</c:v>
                </c:pt>
                <c:pt idx="9">
                  <c:v>45cm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'Relevé Capteur Eau Analogique'!$D$6:$D$15</c15:sqref>
                  </c15:fullRef>
                </c:ext>
              </c:extLst>
              <c:f>'Relevé Capteur Eau Analogique'!$D$7:$D$15</c:f>
              <c:numCache>
                <c:formatCode>0"mV"</c:formatCode>
                <c:ptCount val="9"/>
                <c:pt idx="0">
                  <c:v>110</c:v>
                </c:pt>
                <c:pt idx="1">
                  <c:v>280</c:v>
                </c:pt>
                <c:pt idx="2">
                  <c:v>460</c:v>
                </c:pt>
                <c:pt idx="3">
                  <c:v>640</c:v>
                </c:pt>
                <c:pt idx="4">
                  <c:v>750</c:v>
                </c:pt>
                <c:pt idx="5">
                  <c:v>930</c:v>
                </c:pt>
                <c:pt idx="6">
                  <c:v>1100</c:v>
                </c:pt>
                <c:pt idx="7">
                  <c:v>1250</c:v>
                </c:pt>
                <c:pt idx="8">
                  <c:v>1410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FE-4F7D-8EEE-A57C3391B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0292863"/>
        <c:axId val="1110286143"/>
      </c:lineChart>
      <c:lineChart>
        <c:grouping val="standard"/>
        <c:varyColors val="0"/>
        <c:ser>
          <c:idx val="3"/>
          <c:order val="2"/>
          <c:tx>
            <c:strRef>
              <c:f>'Relevé Capteur Eau Analogique'!$E$5</c:f>
              <c:strCache>
                <c:ptCount val="1"/>
                <c:pt idx="0">
                  <c:v>Volt/cm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8"/>
              <c:layout>
                <c:manualLayout>
                  <c:x val="-2.7751497950173631E-2"/>
                  <c:y val="-4.81927710843373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BD-40E8-A718-298824D4ED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9"/>
              <c:pt idx="0">
                <c:v>2mV/cm</c:v>
              </c:pt>
              <c:pt idx="1">
                <c:v>3mV/cm</c:v>
              </c:pt>
              <c:pt idx="2">
                <c:v>4mV/cm</c:v>
              </c:pt>
              <c:pt idx="3">
                <c:v>5mV/cm</c:v>
              </c:pt>
              <c:pt idx="4">
                <c:v>6mV/cm</c:v>
              </c:pt>
              <c:pt idx="5">
                <c:v>7mV/cm</c:v>
              </c:pt>
              <c:pt idx="6">
                <c:v>8mV/cm</c:v>
              </c:pt>
              <c:pt idx="7">
                <c:v>9mV/cm</c:v>
              </c:pt>
              <c:pt idx="8">
                <c:v>10mV/cm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'Relevé Capteur Eau Analogique'!$E$6:$E$15</c15:sqref>
                  </c15:fullRef>
                </c:ext>
              </c:extLst>
              <c:f>'Relevé Capteur Eau Analogique'!$E$7:$E$15</c:f>
              <c:numCache>
                <c:formatCode>0"mV/cm"</c:formatCode>
                <c:ptCount val="9"/>
                <c:pt idx="0">
                  <c:v>22</c:v>
                </c:pt>
                <c:pt idx="1">
                  <c:v>28</c:v>
                </c:pt>
                <c:pt idx="2">
                  <c:v>30.666666666666668</c:v>
                </c:pt>
                <c:pt idx="3">
                  <c:v>32</c:v>
                </c:pt>
                <c:pt idx="4">
                  <c:v>30</c:v>
                </c:pt>
                <c:pt idx="5">
                  <c:v>31</c:v>
                </c:pt>
                <c:pt idx="6">
                  <c:v>31.428571428571427</c:v>
                </c:pt>
                <c:pt idx="7">
                  <c:v>31.25</c:v>
                </c:pt>
                <c:pt idx="8">
                  <c:v>31.333333333333332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FE-4F7D-8EEE-A57C3391BB56}"/>
            </c:ext>
          </c:extLst>
        </c:ser>
        <c:ser>
          <c:idx val="4"/>
          <c:order val="3"/>
          <c:tx>
            <c:strRef>
              <c:f>'Relevé Capteur Eau Analogique'!$F$5</c:f>
              <c:strCache>
                <c:ptCount val="1"/>
                <c:pt idx="0">
                  <c:v>Moyenne Volt/cm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8"/>
              <c:layout>
                <c:manualLayout>
                  <c:x val="-1.8921475875118443E-2"/>
                  <c:y val="4.81927710843373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7BD-40E8-A718-298824D4ED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9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'Relevé Capteur Eau Analogique'!$F$6:$F$15</c15:sqref>
                  </c15:fullRef>
                </c:ext>
              </c:extLst>
              <c:f>'Relevé Capteur Eau Analogique'!$F$7:$F$15</c:f>
              <c:numCache>
                <c:formatCode>0"mV/cm"</c:formatCode>
                <c:ptCount val="9"/>
                <c:pt idx="0">
                  <c:v>22</c:v>
                </c:pt>
                <c:pt idx="1">
                  <c:v>25</c:v>
                </c:pt>
                <c:pt idx="2">
                  <c:v>26.888888888888889</c:v>
                </c:pt>
                <c:pt idx="3">
                  <c:v>28.166666666666668</c:v>
                </c:pt>
                <c:pt idx="4">
                  <c:v>28.533333333333339</c:v>
                </c:pt>
                <c:pt idx="5">
                  <c:v>28.944444444444446</c:v>
                </c:pt>
                <c:pt idx="6">
                  <c:v>29.299319727891156</c:v>
                </c:pt>
                <c:pt idx="7">
                  <c:v>29.543154761904763</c:v>
                </c:pt>
                <c:pt idx="8">
                  <c:v>29.742063492063494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FE-4F7D-8EEE-A57C3391BB5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20541759"/>
        <c:axId val="1120535519"/>
      </c:lineChart>
      <c:catAx>
        <c:axId val="1110292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0286143"/>
        <c:crosses val="autoZero"/>
        <c:auto val="1"/>
        <c:lblAlgn val="ctr"/>
        <c:lblOffset val="100"/>
        <c:noMultiLvlLbl val="0"/>
      </c:catAx>
      <c:valAx>
        <c:axId val="111028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&quot;mV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0292863"/>
        <c:crosses val="autoZero"/>
        <c:crossBetween val="between"/>
      </c:valAx>
      <c:valAx>
        <c:axId val="1120535519"/>
        <c:scaling>
          <c:orientation val="minMax"/>
        </c:scaling>
        <c:delete val="0"/>
        <c:axPos val="r"/>
        <c:numFmt formatCode="0&quot;mV/cm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0541759"/>
        <c:crosses val="max"/>
        <c:crossBetween val="between"/>
      </c:valAx>
      <c:catAx>
        <c:axId val="1120541759"/>
        <c:scaling>
          <c:orientation val="minMax"/>
        </c:scaling>
        <c:delete val="1"/>
        <c:axPos val="b"/>
        <c:numFmt formatCode="0&quot;cm&quot;" sourceLinked="1"/>
        <c:majorTickMark val="none"/>
        <c:minorTickMark val="none"/>
        <c:tickLblPos val="nextTo"/>
        <c:crossAx val="1120535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</xdr:row>
      <xdr:rowOff>38100</xdr:rowOff>
    </xdr:from>
    <xdr:to>
      <xdr:col>19</xdr:col>
      <xdr:colOff>491099</xdr:colOff>
      <xdr:row>23</xdr:row>
      <xdr:rowOff>180975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142E3858-3ABE-91DD-ABFB-2A2200D379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76201</xdr:rowOff>
    </xdr:from>
    <xdr:to>
      <xdr:col>7</xdr:col>
      <xdr:colOff>504825</xdr:colOff>
      <xdr:row>12</xdr:row>
      <xdr:rowOff>19051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A05EAC35-2C8E-F0F1-2CE0-4D4490D83A4C}"/>
            </a:ext>
          </a:extLst>
        </xdr:cNvPr>
        <xdr:cNvGrpSpPr/>
      </xdr:nvGrpSpPr>
      <xdr:grpSpPr>
        <a:xfrm>
          <a:off x="171450" y="76201"/>
          <a:ext cx="5324475" cy="2876550"/>
          <a:chOff x="171450" y="76201"/>
          <a:chExt cx="5324475" cy="2876550"/>
        </a:xfrm>
      </xdr:grpSpPr>
      <xdr:sp macro="" textlink="">
        <xdr:nvSpPr>
          <xdr:cNvPr id="17" name="Rectangle : coins arrondis 16">
            <a:extLst>
              <a:ext uri="{FF2B5EF4-FFF2-40B4-BE49-F238E27FC236}">
                <a16:creationId xmlns:a16="http://schemas.microsoft.com/office/drawing/2014/main" id="{4F8C599C-5DC8-7E6F-7E65-730A214A9ED4}"/>
              </a:ext>
            </a:extLst>
          </xdr:cNvPr>
          <xdr:cNvSpPr/>
        </xdr:nvSpPr>
        <xdr:spPr>
          <a:xfrm>
            <a:off x="171450" y="76201"/>
            <a:ext cx="5324475" cy="2876550"/>
          </a:xfrm>
          <a:prstGeom prst="roundRect">
            <a:avLst>
              <a:gd name="adj" fmla="val 9055"/>
            </a:avLst>
          </a:prstGeom>
          <a:noFill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200" b="1" u="sng"/>
              <a:t>Branchements Capteurs de Cuve (DS18B20</a:t>
            </a:r>
            <a:r>
              <a:rPr lang="fr-FR" sz="1200" b="1" u="sng" baseline="0"/>
              <a:t> + Capteur de Niveau Eau)</a:t>
            </a:r>
            <a:endParaRPr lang="fr-FR" sz="1200" b="1" u="sng"/>
          </a:p>
        </xdr:txBody>
      </xdr: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49DE73F9-75EA-AAA5-DA94-9C02F64E7261}"/>
              </a:ext>
            </a:extLst>
          </xdr:cNvPr>
          <xdr:cNvGrpSpPr/>
        </xdr:nvGrpSpPr>
        <xdr:grpSpPr>
          <a:xfrm>
            <a:off x="542925" y="407757"/>
            <a:ext cx="2105025" cy="2118187"/>
            <a:chOff x="5457825" y="800100"/>
            <a:chExt cx="2105025" cy="2076450"/>
          </a:xfrm>
        </xdr:grpSpPr>
        <xdr:pic>
          <xdr:nvPicPr>
            <xdr:cNvPr id="2" name="Image 1">
              <a:extLst>
                <a:ext uri="{FF2B5EF4-FFF2-40B4-BE49-F238E27FC236}">
                  <a16:creationId xmlns:a16="http://schemas.microsoft.com/office/drawing/2014/main" id="{E8A58391-C38D-57CB-8DB0-B73C22A0F864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/>
            <a:srcRect l="5261" t="87002" r="37657" b="5285"/>
            <a:stretch/>
          </xdr:blipFill>
          <xdr:spPr>
            <a:xfrm>
              <a:off x="5476875" y="2638425"/>
              <a:ext cx="2066925" cy="238125"/>
            </a:xfrm>
            <a:prstGeom prst="rect">
              <a:avLst/>
            </a:prstGeom>
          </xdr:spPr>
        </xdr:pic>
        <xdr:grpSp>
          <xdr:nvGrpSpPr>
            <xdr:cNvPr id="14" name="Groupe 13">
              <a:extLst>
                <a:ext uri="{FF2B5EF4-FFF2-40B4-BE49-F238E27FC236}">
                  <a16:creationId xmlns:a16="http://schemas.microsoft.com/office/drawing/2014/main" id="{492D842B-5FD7-8CB0-11D6-96647CE854F4}"/>
                </a:ext>
              </a:extLst>
            </xdr:cNvPr>
            <xdr:cNvGrpSpPr/>
          </xdr:nvGrpSpPr>
          <xdr:grpSpPr>
            <a:xfrm>
              <a:off x="5457825" y="800100"/>
              <a:ext cx="2105025" cy="1562100"/>
              <a:chOff x="5457825" y="800100"/>
              <a:chExt cx="2105025" cy="1562100"/>
            </a:xfrm>
          </xdr:grpSpPr>
          <xdr:grpSp>
            <xdr:nvGrpSpPr>
              <xdr:cNvPr id="10" name="Groupe 9">
                <a:extLst>
                  <a:ext uri="{FF2B5EF4-FFF2-40B4-BE49-F238E27FC236}">
                    <a16:creationId xmlns:a16="http://schemas.microsoft.com/office/drawing/2014/main" id="{CB86587E-1023-173F-AB84-6C718F7BD3F9}"/>
                  </a:ext>
                </a:extLst>
              </xdr:cNvPr>
              <xdr:cNvGrpSpPr/>
            </xdr:nvGrpSpPr>
            <xdr:grpSpPr>
              <a:xfrm>
                <a:off x="5457825" y="800100"/>
                <a:ext cx="2105025" cy="1028700"/>
                <a:chOff x="5457825" y="800100"/>
                <a:chExt cx="2105025" cy="1028700"/>
              </a:xfrm>
            </xdr:grpSpPr>
            <xdr:grpSp>
              <xdr:nvGrpSpPr>
                <xdr:cNvPr id="9" name="Groupe 8">
                  <a:extLst>
                    <a:ext uri="{FF2B5EF4-FFF2-40B4-BE49-F238E27FC236}">
                      <a16:creationId xmlns:a16="http://schemas.microsoft.com/office/drawing/2014/main" id="{F244DE77-35E9-BB2E-523F-6E3A8AE21DEA}"/>
                    </a:ext>
                  </a:extLst>
                </xdr:cNvPr>
                <xdr:cNvGrpSpPr/>
              </xdr:nvGrpSpPr>
              <xdr:grpSpPr>
                <a:xfrm>
                  <a:off x="5457825" y="800100"/>
                  <a:ext cx="2105025" cy="790574"/>
                  <a:chOff x="5457825" y="800100"/>
                  <a:chExt cx="2105025" cy="790574"/>
                </a:xfrm>
              </xdr:grpSpPr>
              <xdr:grpSp>
                <xdr:nvGrpSpPr>
                  <xdr:cNvPr id="6" name="Groupe 5">
                    <a:extLst>
                      <a:ext uri="{FF2B5EF4-FFF2-40B4-BE49-F238E27FC236}">
                        <a16:creationId xmlns:a16="http://schemas.microsoft.com/office/drawing/2014/main" id="{A0096BCB-7F45-F02A-18BC-EE4F8A03AF6F}"/>
                      </a:ext>
                    </a:extLst>
                  </xdr:cNvPr>
                  <xdr:cNvGrpSpPr/>
                </xdr:nvGrpSpPr>
                <xdr:grpSpPr>
                  <a:xfrm>
                    <a:off x="5457825" y="800100"/>
                    <a:ext cx="2105025" cy="523875"/>
                    <a:chOff x="5457825" y="800100"/>
                    <a:chExt cx="2105025" cy="523875"/>
                  </a:xfrm>
                </xdr:grpSpPr>
                <xdr:pic>
                  <xdr:nvPicPr>
                    <xdr:cNvPr id="3" name="Image 2">
                      <a:extLst>
                        <a:ext uri="{FF2B5EF4-FFF2-40B4-BE49-F238E27FC236}">
                          <a16:creationId xmlns:a16="http://schemas.microsoft.com/office/drawing/2014/main" id="{412790F3-C5FA-4E0D-B929-B84B0461612E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 rotWithShape="1">
                    <a:blip xmlns:r="http://schemas.openxmlformats.org/officeDocument/2006/relationships" r:embed="rId1"/>
                    <a:srcRect l="4734" t="24064" r="37131" b="67606"/>
                    <a:stretch/>
                  </xdr:blipFill>
                  <xdr:spPr>
                    <a:xfrm>
                      <a:off x="5457825" y="800100"/>
                      <a:ext cx="2105025" cy="257175"/>
                    </a:xfrm>
                    <a:prstGeom prst="rect">
                      <a:avLst/>
                    </a:prstGeom>
                  </xdr:spPr>
                </xdr:pic>
                <xdr:pic>
                  <xdr:nvPicPr>
                    <xdr:cNvPr id="5" name="Image 4">
                      <a:extLst>
                        <a:ext uri="{FF2B5EF4-FFF2-40B4-BE49-F238E27FC236}">
                          <a16:creationId xmlns:a16="http://schemas.microsoft.com/office/drawing/2014/main" id="{75375759-483F-4140-9120-19E935526B7E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 rotWithShape="1">
                    <a:blip xmlns:r="http://schemas.openxmlformats.org/officeDocument/2006/relationships" r:embed="rId1"/>
                    <a:srcRect l="4997" t="32703" r="37395" b="58967"/>
                    <a:stretch/>
                  </xdr:blipFill>
                  <xdr:spPr>
                    <a:xfrm>
                      <a:off x="5467349" y="1066800"/>
                      <a:ext cx="2085975" cy="257175"/>
                    </a:xfrm>
                    <a:prstGeom prst="rect">
                      <a:avLst/>
                    </a:prstGeom>
                  </xdr:spPr>
                </xdr:pic>
              </xdr:grpSp>
              <xdr:pic>
                <xdr:nvPicPr>
                  <xdr:cNvPr id="7" name="Image 6">
                    <a:extLst>
                      <a:ext uri="{FF2B5EF4-FFF2-40B4-BE49-F238E27FC236}">
                        <a16:creationId xmlns:a16="http://schemas.microsoft.com/office/drawing/2014/main" id="{E07B1EBF-6C3B-48A0-80AB-4AF0855070B7}"/>
                      </a:ext>
                    </a:extLst>
                  </xdr:cNvPr>
                  <xdr:cNvPicPr>
                    <a:picLocks noChangeAspect="1"/>
                  </xdr:cNvPicPr>
                </xdr:nvPicPr>
                <xdr:blipFill rotWithShape="1">
                  <a:blip xmlns:r="http://schemas.openxmlformats.org/officeDocument/2006/relationships" r:embed="rId1"/>
                  <a:srcRect l="4736" t="41650" r="37656" b="50020"/>
                  <a:stretch/>
                </xdr:blipFill>
                <xdr:spPr>
                  <a:xfrm>
                    <a:off x="5457825" y="1333499"/>
                    <a:ext cx="2085975" cy="257175"/>
                  </a:xfrm>
                  <a:prstGeom prst="rect">
                    <a:avLst/>
                  </a:prstGeom>
                </xdr:spPr>
              </xdr:pic>
            </xdr:grpSp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44009D88-26E6-4D95-AE55-9AD8F4DE750F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1"/>
                <a:srcRect l="4997" t="69108" r="37921" b="23796"/>
                <a:stretch/>
              </xdr:blipFill>
              <xdr:spPr>
                <a:xfrm>
                  <a:off x="5467350" y="1609725"/>
                  <a:ext cx="2066925" cy="219075"/>
                </a:xfrm>
                <a:prstGeom prst="rect">
                  <a:avLst/>
                </a:prstGeom>
              </xdr:spPr>
            </xdr:pic>
          </xdr:grpSp>
          <xdr:pic>
            <xdr:nvPicPr>
              <xdr:cNvPr id="11" name="Image 10">
                <a:extLst>
                  <a:ext uri="{FF2B5EF4-FFF2-40B4-BE49-F238E27FC236}">
                    <a16:creationId xmlns:a16="http://schemas.microsoft.com/office/drawing/2014/main" id="{16E6D923-8652-46C3-A12E-D1594D3FA945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1"/>
              <a:srcRect l="5261" t="50597" r="37393" b="41073"/>
              <a:stretch/>
            </xdr:blipFill>
            <xdr:spPr>
              <a:xfrm>
                <a:off x="5476875" y="2105025"/>
                <a:ext cx="2076450" cy="257175"/>
              </a:xfrm>
              <a:prstGeom prst="rect">
                <a:avLst/>
              </a:prstGeom>
            </xdr:spPr>
          </xdr:pic>
          <xdr:pic>
            <xdr:nvPicPr>
              <xdr:cNvPr id="13" name="Image 12">
                <a:extLst>
                  <a:ext uri="{FF2B5EF4-FFF2-40B4-BE49-F238E27FC236}">
                    <a16:creationId xmlns:a16="http://schemas.microsoft.com/office/drawing/2014/main" id="{A51C6D19-1598-41F4-B540-2541A93FB2D8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1"/>
              <a:srcRect l="4998" t="59544" r="37394" b="32126"/>
              <a:stretch/>
            </xdr:blipFill>
            <xdr:spPr>
              <a:xfrm>
                <a:off x="5467350" y="1838325"/>
                <a:ext cx="2085976" cy="257176"/>
              </a:xfrm>
              <a:prstGeom prst="rect">
                <a:avLst/>
              </a:prstGeom>
            </xdr:spPr>
          </xdr:pic>
        </xdr:grpSp>
        <xdr:pic>
          <xdr:nvPicPr>
            <xdr:cNvPr id="15" name="Image 14">
              <a:extLst>
                <a:ext uri="{FF2B5EF4-FFF2-40B4-BE49-F238E27FC236}">
                  <a16:creationId xmlns:a16="http://schemas.microsoft.com/office/drawing/2014/main" id="{D740A6BF-8642-485F-9E8D-84BF0626161E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/>
            <a:srcRect l="4998" t="77438" r="37657" b="14232"/>
            <a:stretch/>
          </xdr:blipFill>
          <xdr:spPr>
            <a:xfrm>
              <a:off x="5467349" y="2371725"/>
              <a:ext cx="2076451" cy="257176"/>
            </a:xfrm>
            <a:prstGeom prst="rect">
              <a:avLst/>
            </a:prstGeom>
          </xdr:spPr>
        </xdr:pic>
      </xdr:grp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6A0730-B9F9-4DAA-AAF3-F669B68B81CE}" name="Tableau1" displayName="Tableau1" ref="B5:F15" totalsRowShown="0" headerRowDxfId="1" dataDxfId="2">
  <autoFilter ref="B5:F15" xr:uid="{0C6A0730-B9F9-4DAA-AAF3-F669B68B81CE}"/>
  <tableColumns count="5">
    <tableColumn id="1" xr3:uid="{D7B2E4A3-C097-4BBD-9F75-9653B2C5DF30}" name="Hauteur Eau" dataDxfId="6"/>
    <tableColumn id="2" xr3:uid="{D1838D1B-6E63-42C4-B755-A61D1EF6666D}" name="Valeur attendue" dataDxfId="0">
      <calculatedColumnFormula>B6*$E$18</calculatedColumnFormula>
    </tableColumn>
    <tableColumn id="3" xr3:uid="{97AFD57E-087F-45E6-96ED-A3D5DAE23ED2}" name="Voltage Capteur" dataDxfId="5"/>
    <tableColumn id="4" xr3:uid="{C0585659-099A-426B-BED6-5B7AB7B9A1A4}" name="Volt/cm" dataDxfId="4">
      <calculatedColumnFormula>D6/B6</calculatedColumnFormula>
    </tableColumn>
    <tableColumn id="5" xr3:uid="{44DC9CD4-1A8C-442A-A8BA-6CD0D15EE418}" name="Moyenne Volt/cm" dataDxfId="3">
      <calculatedColumnFormula>AVERAGE($E$7:E6)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169AD-37FD-41F2-9B61-B1F00E194349}">
  <sheetPr codeName="Feuil1"/>
  <dimension ref="B2:N21"/>
  <sheetViews>
    <sheetView showGridLines="0" showRowColHeaders="0" tabSelected="1" workbookViewId="0">
      <selection activeCell="E24" sqref="E24"/>
    </sheetView>
  </sheetViews>
  <sheetFormatPr baseColWidth="10" defaultRowHeight="15.75" x14ac:dyDescent="0.25"/>
  <cols>
    <col min="1" max="1" width="2.33203125" style="1" customWidth="1"/>
    <col min="2" max="2" width="16.6640625" style="1" customWidth="1"/>
    <col min="3" max="4" width="19.33203125" style="1" customWidth="1"/>
    <col min="5" max="5" width="13.5" style="1" customWidth="1"/>
    <col min="6" max="6" width="21.6640625" style="1" customWidth="1"/>
    <col min="7" max="16384" width="12" style="1"/>
  </cols>
  <sheetData>
    <row r="2" spans="2:14" ht="19.5" x14ac:dyDescent="0.25">
      <c r="B2" s="10" t="s">
        <v>12</v>
      </c>
      <c r="C2" s="10"/>
      <c r="D2" s="10"/>
      <c r="E2" s="10"/>
      <c r="F2" s="10"/>
    </row>
    <row r="4" spans="2:14" x14ac:dyDescent="0.25">
      <c r="K4" s="1">
        <f>10</f>
        <v>10</v>
      </c>
    </row>
    <row r="5" spans="2:14" x14ac:dyDescent="0.25">
      <c r="B5" s="1" t="s">
        <v>0</v>
      </c>
      <c r="C5" s="1" t="s">
        <v>13</v>
      </c>
      <c r="D5" s="1" t="s">
        <v>1</v>
      </c>
      <c r="E5" s="1" t="s">
        <v>10</v>
      </c>
      <c r="F5" s="1" t="s">
        <v>11</v>
      </c>
    </row>
    <row r="6" spans="2:14" x14ac:dyDescent="0.25">
      <c r="B6" s="2">
        <v>0</v>
      </c>
      <c r="C6" s="6">
        <f t="shared" ref="C6:C15" si="0">B6*$E$18</f>
        <v>0</v>
      </c>
      <c r="D6" s="6">
        <v>0.04</v>
      </c>
      <c r="E6" s="5">
        <v>4</v>
      </c>
      <c r="I6" s="1">
        <f>0.11*80</f>
        <v>8.8000000000000007</v>
      </c>
      <c r="L6" s="1" t="s">
        <v>2</v>
      </c>
      <c r="M6" s="1" t="s">
        <v>3</v>
      </c>
      <c r="N6" s="4" t="s">
        <v>4</v>
      </c>
    </row>
    <row r="7" spans="2:14" x14ac:dyDescent="0.25">
      <c r="B7" s="2">
        <v>5</v>
      </c>
      <c r="C7" s="6">
        <f t="shared" si="0"/>
        <v>155</v>
      </c>
      <c r="D7" s="6">
        <v>110</v>
      </c>
      <c r="E7" s="5">
        <f>D7/B7</f>
        <v>22</v>
      </c>
      <c r="F7" s="5">
        <f>AVERAGE($E$7:E7)</f>
        <v>22</v>
      </c>
    </row>
    <row r="8" spans="2:14" x14ac:dyDescent="0.25">
      <c r="B8" s="2">
        <v>10</v>
      </c>
      <c r="C8" s="6">
        <f t="shared" si="0"/>
        <v>310</v>
      </c>
      <c r="D8" s="6">
        <v>280</v>
      </c>
      <c r="E8" s="5">
        <f t="shared" ref="E8:E15" si="1">D8/B8</f>
        <v>28</v>
      </c>
      <c r="F8" s="5">
        <f>AVERAGE($E$7:E8)</f>
        <v>25</v>
      </c>
    </row>
    <row r="9" spans="2:14" x14ac:dyDescent="0.25">
      <c r="B9" s="2">
        <v>15</v>
      </c>
      <c r="C9" s="6">
        <f t="shared" si="0"/>
        <v>465</v>
      </c>
      <c r="D9" s="6">
        <v>460</v>
      </c>
      <c r="E9" s="5">
        <f t="shared" si="1"/>
        <v>30.666666666666668</v>
      </c>
      <c r="F9" s="5">
        <f>AVERAGE($E$7:E9)</f>
        <v>26.888888888888889</v>
      </c>
      <c r="L9" s="1" t="s">
        <v>5</v>
      </c>
      <c r="M9" s="1" t="s">
        <v>6</v>
      </c>
    </row>
    <row r="10" spans="2:14" x14ac:dyDescent="0.25">
      <c r="B10" s="2">
        <v>20</v>
      </c>
      <c r="C10" s="6">
        <f t="shared" si="0"/>
        <v>620</v>
      </c>
      <c r="D10" s="6">
        <v>640</v>
      </c>
      <c r="E10" s="5">
        <f t="shared" si="1"/>
        <v>32</v>
      </c>
      <c r="F10" s="5">
        <f>AVERAGE($E$7:E10)</f>
        <v>28.166666666666668</v>
      </c>
      <c r="L10" s="1">
        <f>50/500</f>
        <v>0.1</v>
      </c>
      <c r="M10" s="1" t="s">
        <v>7</v>
      </c>
    </row>
    <row r="11" spans="2:14" x14ac:dyDescent="0.25">
      <c r="B11" s="2">
        <v>25</v>
      </c>
      <c r="C11" s="6">
        <f t="shared" si="0"/>
        <v>775</v>
      </c>
      <c r="D11" s="6">
        <v>750</v>
      </c>
      <c r="E11" s="5">
        <f t="shared" si="1"/>
        <v>30</v>
      </c>
      <c r="F11" s="5">
        <f>AVERAGE($E$7:E11)</f>
        <v>28.533333333333339</v>
      </c>
      <c r="L11" s="1">
        <f>45*10/500</f>
        <v>0.9</v>
      </c>
      <c r="M11" s="1" t="s">
        <v>8</v>
      </c>
    </row>
    <row r="12" spans="2:14" x14ac:dyDescent="0.25">
      <c r="B12" s="2">
        <v>30</v>
      </c>
      <c r="C12" s="6">
        <f t="shared" si="0"/>
        <v>930</v>
      </c>
      <c r="D12" s="6">
        <v>930</v>
      </c>
      <c r="E12" s="5">
        <f t="shared" si="1"/>
        <v>31</v>
      </c>
      <c r="F12" s="5">
        <f>AVERAGE($E$7:E12)</f>
        <v>28.944444444444446</v>
      </c>
      <c r="L12" s="1">
        <f>20*10/500</f>
        <v>0.4</v>
      </c>
      <c r="M12" s="1" t="s">
        <v>9</v>
      </c>
    </row>
    <row r="13" spans="2:14" x14ac:dyDescent="0.25">
      <c r="B13" s="2">
        <v>35</v>
      </c>
      <c r="C13" s="6">
        <f t="shared" si="0"/>
        <v>1085</v>
      </c>
      <c r="D13" s="6">
        <v>1100</v>
      </c>
      <c r="E13" s="5">
        <f t="shared" si="1"/>
        <v>31.428571428571427</v>
      </c>
      <c r="F13" s="5">
        <f>AVERAGE($E$7:E13)</f>
        <v>29.299319727891156</v>
      </c>
    </row>
    <row r="14" spans="2:14" x14ac:dyDescent="0.25">
      <c r="B14" s="2">
        <v>40</v>
      </c>
      <c r="C14" s="6">
        <f t="shared" si="0"/>
        <v>1240</v>
      </c>
      <c r="D14" s="6">
        <v>1250</v>
      </c>
      <c r="E14" s="5">
        <f t="shared" si="1"/>
        <v>31.25</v>
      </c>
      <c r="F14" s="5">
        <f>AVERAGE($E$7:E14)</f>
        <v>29.543154761904763</v>
      </c>
    </row>
    <row r="15" spans="2:14" x14ac:dyDescent="0.25">
      <c r="B15" s="2">
        <v>45</v>
      </c>
      <c r="C15" s="6">
        <f t="shared" si="0"/>
        <v>1395</v>
      </c>
      <c r="D15" s="6">
        <v>1410</v>
      </c>
      <c r="E15" s="5">
        <f t="shared" si="1"/>
        <v>31.333333333333332</v>
      </c>
      <c r="F15" s="5">
        <f>AVERAGE($E$7:E15)</f>
        <v>29.742063492063494</v>
      </c>
    </row>
    <row r="16" spans="2:14" x14ac:dyDescent="0.25">
      <c r="B16" s="2"/>
      <c r="C16" s="2"/>
      <c r="D16" s="3"/>
      <c r="E16" s="5"/>
    </row>
    <row r="17" spans="2:5" x14ac:dyDescent="0.25">
      <c r="B17" s="9" t="s">
        <v>21</v>
      </c>
      <c r="C17" s="9"/>
      <c r="D17" s="9"/>
      <c r="E17" s="11">
        <f>AVERAGE(E7:E15)</f>
        <v>29.742063492063494</v>
      </c>
    </row>
    <row r="18" spans="2:5" x14ac:dyDescent="0.25">
      <c r="B18" s="2"/>
      <c r="D18" s="8" t="s">
        <v>14</v>
      </c>
      <c r="E18" s="12">
        <v>31</v>
      </c>
    </row>
    <row r="19" spans="2:5" x14ac:dyDescent="0.25">
      <c r="B19" s="2"/>
      <c r="C19" s="2"/>
      <c r="D19" s="3"/>
    </row>
    <row r="20" spans="2:5" x14ac:dyDescent="0.25">
      <c r="B20" s="2"/>
      <c r="C20" s="2"/>
      <c r="D20" s="3"/>
    </row>
    <row r="21" spans="2:5" x14ac:dyDescent="0.25">
      <c r="B21" s="2"/>
      <c r="C21" s="2"/>
      <c r="D21" s="3"/>
    </row>
  </sheetData>
  <mergeCells count="2">
    <mergeCell ref="B17:D17"/>
    <mergeCell ref="B2:F2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71779-B77D-4E8C-8B8E-04B0E47F93D7}">
  <dimension ref="E3:E10"/>
  <sheetViews>
    <sheetView showGridLines="0" showRowColHeaders="0" workbookViewId="0">
      <selection activeCell="L12" sqref="L12"/>
    </sheetView>
  </sheetViews>
  <sheetFormatPr baseColWidth="10" defaultRowHeight="15.75" x14ac:dyDescent="0.25"/>
  <cols>
    <col min="1" max="4" width="12" style="1"/>
    <col min="5" max="5" width="15.33203125" style="1" customWidth="1"/>
    <col min="6" max="16384" width="12" style="1"/>
  </cols>
  <sheetData>
    <row r="3" spans="5:5" ht="21" customHeight="1" x14ac:dyDescent="0.25">
      <c r="E3" s="7"/>
    </row>
    <row r="4" spans="5:5" ht="21" customHeight="1" x14ac:dyDescent="0.25">
      <c r="E4" s="7"/>
    </row>
    <row r="5" spans="5:5" ht="21" customHeight="1" x14ac:dyDescent="0.25">
      <c r="E5" s="7" t="s">
        <v>15</v>
      </c>
    </row>
    <row r="6" spans="5:5" ht="21" customHeight="1" x14ac:dyDescent="0.25">
      <c r="E6" s="7" t="s">
        <v>16</v>
      </c>
    </row>
    <row r="7" spans="5:5" ht="21" customHeight="1" x14ac:dyDescent="0.25">
      <c r="E7" s="7" t="s">
        <v>19</v>
      </c>
    </row>
    <row r="8" spans="5:5" ht="21" customHeight="1" x14ac:dyDescent="0.25">
      <c r="E8" s="7" t="s">
        <v>18</v>
      </c>
    </row>
    <row r="9" spans="5:5" ht="21" customHeight="1" x14ac:dyDescent="0.25">
      <c r="E9" s="7" t="s">
        <v>20</v>
      </c>
    </row>
    <row r="10" spans="5:5" ht="21" customHeight="1" x14ac:dyDescent="0.25">
      <c r="E10" s="7" t="s">
        <v>17</v>
      </c>
    </row>
  </sheetData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14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Relevé Capteur Eau Analogique</vt:lpstr>
      <vt:lpstr>Cablage Ethernet - Capteurs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Frédéric Daubercy</dc:creator>
  <cp:lastModifiedBy>Frédéric Daubercy</cp:lastModifiedBy>
  <cp:lastPrinted>2025-03-30T17:48:14Z</cp:lastPrinted>
  <dcterms:created xsi:type="dcterms:W3CDTF">2025-03-29T11:24:21Z</dcterms:created>
  <dcterms:modified xsi:type="dcterms:W3CDTF">2025-03-30T20:04:45Z</dcterms:modified>
</cp:coreProperties>
</file>